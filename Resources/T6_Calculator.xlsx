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ebautomation-my.sharepoint.com/personal/conner_glaser_kebamerica_com/Documents/Documents/PROJECTS/KEB/T6/"/>
    </mc:Choice>
  </mc:AlternateContent>
  <xr:revisionPtr revIDLastSave="125" documentId="8_{885F876A-B2BA-446F-B92C-8027C951ED49}" xr6:coauthVersionLast="47" xr6:coauthVersionMax="47" xr10:uidLastSave="{28690B9A-616A-4A2A-924F-8E51334587A3}"/>
  <bookViews>
    <workbookView xWindow="-23148" yWindow="-108" windowWidth="23256" windowHeight="13176" xr2:uid="{1763D438-3571-422B-9DCD-EAB41B67F562}"/>
  </bookViews>
  <sheets>
    <sheet name="T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16" i="1"/>
  <c r="H19" i="1"/>
  <c r="H13" i="1"/>
  <c r="H10" i="1"/>
  <c r="C13" i="1"/>
  <c r="D13" i="1" s="1"/>
  <c r="C10" i="1"/>
  <c r="E10" i="1" s="1"/>
  <c r="E2" i="1"/>
  <c r="F2" i="1" s="1"/>
  <c r="E3" i="1"/>
  <c r="F3" i="1" s="1"/>
  <c r="E4" i="1"/>
  <c r="F4" i="1" s="1"/>
  <c r="E13" i="1" l="1"/>
  <c r="D10" i="1"/>
</calcChain>
</file>

<file path=xl/sharedStrings.xml><?xml version="1.0" encoding="utf-8"?>
<sst xmlns="http://schemas.openxmlformats.org/spreadsheetml/2006/main" count="45" uniqueCount="37">
  <si>
    <t>PGN Calculator</t>
  </si>
  <si>
    <t>DCU Index (1-based)</t>
  </si>
  <si>
    <t>PropB offset</t>
  </si>
  <si>
    <t>Telegram</t>
  </si>
  <si>
    <t>Telegram Index (0-based)</t>
  </si>
  <si>
    <t>PGN</t>
  </si>
  <si>
    <t>Receive 1</t>
  </si>
  <si>
    <t>= Input</t>
  </si>
  <si>
    <t>Transmit 1</t>
  </si>
  <si>
    <t>Transmit 2</t>
  </si>
  <si>
    <t>Transmit 3</t>
  </si>
  <si>
    <t>Torque-Speed Control</t>
  </si>
  <si>
    <t>Receive 1 (1-8 bytes)</t>
  </si>
  <si>
    <t>Transmit 1 (1-8 bytes)</t>
  </si>
  <si>
    <t>Vl Target Velocity (RPM)</t>
  </si>
  <si>
    <t>Result (Hex)</t>
  </si>
  <si>
    <t>Byte 2 (Hex)</t>
  </si>
  <si>
    <t>Byte 3 (Hex)</t>
  </si>
  <si>
    <t>Input Byte 1 (Hex)</t>
  </si>
  <si>
    <t>Input Byte 2 (Hex)</t>
  </si>
  <si>
    <t>Act Velocity (RPM)</t>
  </si>
  <si>
    <t>7f</t>
  </si>
  <si>
    <t>7d</t>
  </si>
  <si>
    <t>Max Torque (%)</t>
  </si>
  <si>
    <t>Byte 4 (Hex)</t>
  </si>
  <si>
    <t>Byte 5 (Hex)</t>
  </si>
  <si>
    <t>Input Byte 3 (Hex)</t>
  </si>
  <si>
    <t>Input Byte 4 (Hex)</t>
  </si>
  <si>
    <t>Act Torque (RPM)</t>
  </si>
  <si>
    <t>Input Byte 5 (Hex)</t>
  </si>
  <si>
    <t>Motor Temp (degC)</t>
  </si>
  <si>
    <t>f6</t>
  </si>
  <si>
    <t>Input Byte 6 (Hex)</t>
  </si>
  <si>
    <t>Heatsink Temp (degC)</t>
  </si>
  <si>
    <t>Input Byte 7 (Hex)</t>
  </si>
  <si>
    <t>Input Byte 8 (Hex)</t>
  </si>
  <si>
    <t>Elec. Output Power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</si>
</sst>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.00"/>
    <numFmt numFmtId="165" formatCode="0.000"/>
    <numFmt numFmtId="166" formatCode="0.0"/>
    <numFmt numFmtId="167" formatCode="0.000E+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25" xfId="0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7ED2-E3DE-4836-B302-A2A37DEB605C}">
  <sheetPr codeName="Sheet1"/>
  <dimension ref="A1:T22"/>
  <sheetViews>
    <sheetView showGridLines="0" tabSelected="1" workbookViewId="0">
      <selection activeCell="I14" sqref="I14"/>
    </sheetView>
  </sheetViews>
  <sheetFormatPr defaultRowHeight="15"/>
  <cols>
    <col min="1" max="1" width="23.5703125" style="1" customWidth="1"/>
    <col min="2" max="2" width="22" style="1" customWidth="1"/>
    <col min="3" max="3" width="14.7109375" style="1" customWidth="1"/>
    <col min="4" max="4" width="16.5703125" style="1" customWidth="1"/>
    <col min="5" max="5" width="21.42578125" style="1" customWidth="1"/>
    <col min="6" max="6" width="22" style="1" customWidth="1"/>
    <col min="7" max="7" width="22.5703125" style="1" customWidth="1"/>
    <col min="8" max="8" width="22.140625" style="1" customWidth="1"/>
    <col min="9" max="9" width="23.28515625" style="1" customWidth="1"/>
    <col min="10" max="16384" width="9.140625" style="1"/>
  </cols>
  <sheetData>
    <row r="1" spans="1:20" ht="30.75" thickBot="1">
      <c r="A1" s="40" t="s">
        <v>0</v>
      </c>
      <c r="B1" s="14" t="s">
        <v>1</v>
      </c>
      <c r="C1" s="14" t="s">
        <v>2</v>
      </c>
      <c r="D1" s="14" t="s">
        <v>3</v>
      </c>
      <c r="E1" s="20" t="s">
        <v>4</v>
      </c>
      <c r="F1" s="15" t="s">
        <v>5</v>
      </c>
      <c r="T1" s="2" t="s">
        <v>6</v>
      </c>
    </row>
    <row r="2" spans="1:20" ht="15.75" thickBot="1">
      <c r="A2" s="41"/>
      <c r="B2" s="43">
        <v>1</v>
      </c>
      <c r="C2" s="43">
        <v>206</v>
      </c>
      <c r="D2" s="5" t="s">
        <v>6</v>
      </c>
      <c r="E2" s="23">
        <f>MATCH(D2, $T$1:$T$4, 0) -1</f>
        <v>0</v>
      </c>
      <c r="F2" s="27">
        <f>HEX2DEC("FF00")+(HEX2DEC("10")*$B$2)+$C$2+E2</f>
        <v>65502</v>
      </c>
      <c r="H2" s="4"/>
      <c r="I2" s="26" t="s">
        <v>7</v>
      </c>
      <c r="T2" s="2" t="s">
        <v>8</v>
      </c>
    </row>
    <row r="3" spans="1:20">
      <c r="A3" s="41"/>
      <c r="B3" s="44"/>
      <c r="C3" s="44"/>
      <c r="D3" s="6" t="s">
        <v>8</v>
      </c>
      <c r="E3" s="23">
        <f>MATCH(D3, $T$1:$T$4, 0) - 1</f>
        <v>1</v>
      </c>
      <c r="F3" s="21">
        <f t="shared" ref="F3:F4" si="0">HEX2DEC("FF00")+(HEX2DEC("10")*$B$2)+$C$2+E3</f>
        <v>65503</v>
      </c>
      <c r="T3" s="2" t="s">
        <v>9</v>
      </c>
    </row>
    <row r="4" spans="1:20" ht="15.75" customHeight="1" thickBot="1">
      <c r="A4" s="42"/>
      <c r="B4" s="45"/>
      <c r="C4" s="45"/>
      <c r="D4" s="7" t="s">
        <v>9</v>
      </c>
      <c r="E4" s="24">
        <f>MATCH(D4, $T$1:$T$4, 0) - 1</f>
        <v>2</v>
      </c>
      <c r="F4" s="16">
        <f t="shared" si="0"/>
        <v>65504</v>
      </c>
      <c r="H4" s="8"/>
      <c r="I4" s="8"/>
      <c r="T4" s="2" t="s">
        <v>10</v>
      </c>
    </row>
    <row r="5" spans="1:20" ht="15" customHeight="1"/>
    <row r="7" spans="1:20" ht="15.75" thickBot="1"/>
    <row r="8" spans="1:20" ht="19.5" thickBot="1">
      <c r="A8" s="37" t="s">
        <v>11</v>
      </c>
      <c r="B8" s="46" t="s">
        <v>12</v>
      </c>
      <c r="C8" s="47"/>
      <c r="D8" s="47"/>
      <c r="E8" s="48"/>
      <c r="F8" s="34" t="s">
        <v>13</v>
      </c>
      <c r="G8" s="35"/>
      <c r="H8" s="36"/>
    </row>
    <row r="9" spans="1:20" ht="15.75" thickBot="1">
      <c r="A9" s="38"/>
      <c r="B9" s="18" t="s">
        <v>14</v>
      </c>
      <c r="C9" s="9" t="s">
        <v>15</v>
      </c>
      <c r="D9" s="9" t="s">
        <v>16</v>
      </c>
      <c r="E9" s="11" t="s">
        <v>17</v>
      </c>
      <c r="F9" s="9" t="s">
        <v>18</v>
      </c>
      <c r="G9" s="10" t="s">
        <v>19</v>
      </c>
      <c r="H9" s="11" t="s">
        <v>20</v>
      </c>
    </row>
    <row r="10" spans="1:20" ht="15.75" thickBot="1">
      <c r="A10" s="38"/>
      <c r="B10" s="4">
        <v>3000</v>
      </c>
      <c r="C10" s="29" t="str">
        <f>DEC2HEX(B10+32127,4)</f>
        <v>8937</v>
      </c>
      <c r="D10" s="25" t="str">
        <f>IF(TEXT(MID(C10, 3, 2), "00")="","00",TEXT(MID(C10, 3, 2), "00"))</f>
        <v>37</v>
      </c>
      <c r="E10" s="27" t="str">
        <f>IF(TEXT(MID(C10, 1, 2), "00")="","00",TEXT(MID(C10, 1, 2), "00"))</f>
        <v>89</v>
      </c>
      <c r="F10" s="33" t="s">
        <v>21</v>
      </c>
      <c r="G10" s="4" t="s">
        <v>22</v>
      </c>
      <c r="H10" s="22">
        <f>HEX2DEC(DEC2HEX(HEX2DEC(F10)+(16*16*HEX2DEC(G10)),4))-32127</f>
        <v>0</v>
      </c>
    </row>
    <row r="11" spans="1:20">
      <c r="A11" s="38"/>
      <c r="B11" s="17"/>
      <c r="E11" s="12"/>
      <c r="H11" s="12"/>
    </row>
    <row r="12" spans="1:20" ht="15.75" thickBot="1">
      <c r="A12" s="38"/>
      <c r="B12" s="18" t="s">
        <v>23</v>
      </c>
      <c r="C12" s="9" t="s">
        <v>15</v>
      </c>
      <c r="D12" s="9" t="s">
        <v>24</v>
      </c>
      <c r="E12" s="11" t="s">
        <v>25</v>
      </c>
      <c r="F12" s="9" t="s">
        <v>26</v>
      </c>
      <c r="G12" s="10" t="s">
        <v>27</v>
      </c>
      <c r="H12" s="11" t="s">
        <v>28</v>
      </c>
    </row>
    <row r="13" spans="1:20" ht="15.75" thickBot="1">
      <c r="A13" s="38"/>
      <c r="B13" s="4">
        <v>10</v>
      </c>
      <c r="C13" s="28" t="str">
        <f>DEC2HEX(B13,4)</f>
        <v>000A</v>
      </c>
      <c r="D13" s="25" t="str">
        <f>IF(TEXT(MID(C13, 3, 2), "00")="","00",TEXT(MID(C13, 3, 2), "00"))</f>
        <v>0A</v>
      </c>
      <c r="E13" s="27" t="str">
        <f>IF(TEXT(MID(C13, 1, 2), "00")="","00",TEXT(MID(C13, 1, 2), "00"))</f>
        <v>00</v>
      </c>
      <c r="F13" s="33" t="s">
        <v>21</v>
      </c>
      <c r="G13" s="4" t="s">
        <v>22</v>
      </c>
      <c r="H13" s="30">
        <f>(HEX2DEC(DEC2HEX(HEX2DEC(F13)+(16*16*HEX2DEC(G13)),4))/10)-3212.7</f>
        <v>0</v>
      </c>
    </row>
    <row r="14" spans="1:20">
      <c r="A14" s="38"/>
      <c r="B14" s="17"/>
      <c r="E14" s="12"/>
      <c r="H14" s="12"/>
    </row>
    <row r="15" spans="1:20" ht="15.75" thickBot="1">
      <c r="A15" s="38"/>
      <c r="B15" s="17"/>
      <c r="E15" s="12"/>
      <c r="F15" s="9" t="s">
        <v>29</v>
      </c>
      <c r="G15" s="10"/>
      <c r="H15" s="11" t="s">
        <v>30</v>
      </c>
    </row>
    <row r="16" spans="1:20" ht="15.75" thickBot="1">
      <c r="A16" s="38"/>
      <c r="B16" s="17"/>
      <c r="E16" s="12"/>
      <c r="F16" s="3" t="s">
        <v>31</v>
      </c>
      <c r="H16" s="31">
        <f>HEX2DEC(DEC2HEX(HEX2DEC(F16)))-40</f>
        <v>206</v>
      </c>
    </row>
    <row r="17" spans="1:8">
      <c r="A17" s="38"/>
      <c r="B17" s="17"/>
      <c r="E17" s="12"/>
      <c r="H17" s="12"/>
    </row>
    <row r="18" spans="1:8" ht="15.75" thickBot="1">
      <c r="A18" s="38"/>
      <c r="B18" s="17"/>
      <c r="E18" s="12"/>
      <c r="F18" s="9" t="s">
        <v>32</v>
      </c>
      <c r="G18" s="10"/>
      <c r="H18" s="11" t="s">
        <v>33</v>
      </c>
    </row>
    <row r="19" spans="1:8" ht="15.75" thickBot="1">
      <c r="A19" s="38"/>
      <c r="B19" s="17"/>
      <c r="E19" s="12"/>
      <c r="F19" s="3">
        <v>42</v>
      </c>
      <c r="H19" s="31">
        <f>HEX2DEC(DEC2HEX(HEX2DEC(F19)))-40</f>
        <v>26</v>
      </c>
    </row>
    <row r="20" spans="1:8">
      <c r="A20" s="38"/>
      <c r="B20" s="17"/>
      <c r="E20" s="12"/>
      <c r="H20" s="12"/>
    </row>
    <row r="21" spans="1:8" ht="15.75" thickBot="1">
      <c r="A21" s="38"/>
      <c r="B21" s="17"/>
      <c r="E21" s="12"/>
      <c r="F21" s="9" t="s">
        <v>34</v>
      </c>
      <c r="G21" s="10" t="s">
        <v>35</v>
      </c>
      <c r="H21" s="11" t="s">
        <v>36</v>
      </c>
    </row>
    <row r="22" spans="1:8" ht="15.75" thickBot="1">
      <c r="A22" s="39"/>
      <c r="B22" s="19"/>
      <c r="C22" s="13"/>
      <c r="D22" s="13"/>
      <c r="E22" s="16"/>
      <c r="F22" s="33" t="s">
        <v>21</v>
      </c>
      <c r="G22" s="4" t="s">
        <v>22</v>
      </c>
      <c r="H22" s="32">
        <f>(2*HEX2DEC(DEC2HEX(HEX2DEC(F22)+(16*16*HEX2DEC(G22)),4))-64254)/1000</f>
        <v>0</v>
      </c>
    </row>
  </sheetData>
  <mergeCells count="6">
    <mergeCell ref="F8:H8"/>
    <mergeCell ref="A8:A22"/>
    <mergeCell ref="A1:A4"/>
    <mergeCell ref="C2:C4"/>
    <mergeCell ref="B2:B4"/>
    <mergeCell ref="B8:E8"/>
  </mergeCells>
  <phoneticPr fontId="3" type="noConversion"/>
  <dataValidations count="1">
    <dataValidation type="list" allowBlank="1" showInputMessage="1" showErrorMessage="1" sqref="C5 D2:D4" xr:uid="{FD0DA92C-541C-439E-ACFB-702EEBCB0E8A}">
      <formula1>$T$1:$T$4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Glaser, Conner</dc:creator>
  <cp:keywords/>
  <dc:description/>
  <cp:lastModifiedBy>Glaser, Conner</cp:lastModifiedBy>
  <cp:revision/>
  <dcterms:created xsi:type="dcterms:W3CDTF">2025-06-20T15:28:51Z</dcterms:created>
  <dcterms:modified xsi:type="dcterms:W3CDTF">2025-06-23T15:13:23Z</dcterms:modified>
  <cp:category/>
  <cp:contentStatus/>
</cp:coreProperties>
</file>